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isa\Downloads\"/>
    </mc:Choice>
  </mc:AlternateContent>
  <xr:revisionPtr revIDLastSave="0" documentId="13_ncr:1_{7EC9BFCC-524A-44CA-8C35-9D2F79573725}" xr6:coauthVersionLast="47" xr6:coauthVersionMax="47" xr10:uidLastSave="{00000000-0000-0000-0000-000000000000}"/>
  <bookViews>
    <workbookView xWindow="-108" yWindow="-108" windowWidth="23256" windowHeight="13896" xr2:uid="{E41D8603-CB5A-4A50-A82D-8FDF7D65D5FA}"/>
  </bookViews>
  <sheets>
    <sheet name="rev" sheetId="1" r:id="rId1"/>
  </sheets>
  <definedNames>
    <definedName name="_xlnm.Print_Area" localSheetId="0">rev!$A$1:$N$33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15" i="1"/>
  <c r="H16" i="1"/>
  <c r="H13" i="1"/>
  <c r="H14" i="1"/>
  <c r="L33" i="1"/>
</calcChain>
</file>

<file path=xl/sharedStrings.xml><?xml version="1.0" encoding="utf-8"?>
<sst xmlns="http://schemas.openxmlformats.org/spreadsheetml/2006/main" count="139" uniqueCount="69">
  <si>
    <t>TRANSPORTISTA</t>
  </si>
  <si>
    <t>MUDANZAS TML</t>
  </si>
  <si>
    <t>NUM PROVEEDOR</t>
  </si>
  <si>
    <t>MANIOBRAS DE DESCARGA</t>
  </si>
  <si>
    <t>VIAJE</t>
  </si>
  <si>
    <t>FECHA DE CARGA</t>
  </si>
  <si>
    <t>TIENDA</t>
  </si>
  <si>
    <t>DESTINO</t>
  </si>
  <si>
    <t>ORDEN DE EMBARQUE</t>
  </si>
  <si>
    <t>PEDIDO</t>
  </si>
  <si>
    <t>Tipo</t>
  </si>
  <si>
    <t>TOTAL BULTOS</t>
  </si>
  <si>
    <t>No FACTURA DEL FLETE</t>
  </si>
  <si>
    <t>CONCEPTO DE PAGO</t>
  </si>
  <si>
    <t>TOTAL</t>
  </si>
  <si>
    <t>PEDIDO MANIOBRA DESCARGA</t>
  </si>
  <si>
    <t>Unidad</t>
  </si>
  <si>
    <t>MANIOBRA</t>
  </si>
  <si>
    <t>mudanza</t>
  </si>
  <si>
    <t>descarga</t>
  </si>
  <si>
    <t>Tapachula S171</t>
  </si>
  <si>
    <t>Mérida S1150</t>
  </si>
  <si>
    <t>Gómez Palacio S1137</t>
  </si>
  <si>
    <t>Tapachula S1171</t>
  </si>
  <si>
    <t>Torreón W2224</t>
  </si>
  <si>
    <t>Cardenas S1128</t>
  </si>
  <si>
    <t>Torreón Ramos Arizpe S1132</t>
  </si>
  <si>
    <t>Mérida Calle 60 S1124 (Entrega en Bodega JGT)</t>
  </si>
  <si>
    <t>Aguascalientes S1164</t>
  </si>
  <si>
    <t>Puerto Vallarta W2255</t>
  </si>
  <si>
    <t>Coatzacoalcos S1129</t>
  </si>
  <si>
    <t>Belenda S1141 (Entrega en Bodega JGT)</t>
  </si>
  <si>
    <t>6500348434/6500348435</t>
  </si>
  <si>
    <t>6500349701/6500349703</t>
  </si>
  <si>
    <t>6500349807/6500349811</t>
  </si>
  <si>
    <t>6500350130/6500350131</t>
  </si>
  <si>
    <t>6500351071/6500351072</t>
  </si>
  <si>
    <t>6500351138/6500351139</t>
  </si>
  <si>
    <t>6500352408/6500352410</t>
  </si>
  <si>
    <t>6500352894/6500352895</t>
  </si>
  <si>
    <t>6500353165/6500353166</t>
  </si>
  <si>
    <t>6500353190/6500353571/6500353192/6500353572</t>
  </si>
  <si>
    <t>6500353240/6500353245</t>
  </si>
  <si>
    <t>6500353652/6500353653</t>
  </si>
  <si>
    <t>6500354074/6500354075</t>
  </si>
  <si>
    <t>6500354079/6500354080</t>
  </si>
  <si>
    <t>6500354829/6500354830</t>
  </si>
  <si>
    <t>6500354831/6500354832</t>
  </si>
  <si>
    <t>6500355507/6500355508</t>
  </si>
  <si>
    <t>A2479</t>
  </si>
  <si>
    <t>A2492</t>
  </si>
  <si>
    <t>A2494</t>
  </si>
  <si>
    <t>A2496</t>
  </si>
  <si>
    <t>A2499</t>
  </si>
  <si>
    <t>A2503</t>
  </si>
  <si>
    <t>A2513</t>
  </si>
  <si>
    <t>A2515</t>
  </si>
  <si>
    <t>A2521</t>
  </si>
  <si>
    <t>A2516</t>
  </si>
  <si>
    <t>A2520</t>
  </si>
  <si>
    <t>A2523</t>
  </si>
  <si>
    <t>A2525</t>
  </si>
  <si>
    <t>A2526</t>
  </si>
  <si>
    <t>A2535</t>
  </si>
  <si>
    <t>A2436</t>
  </si>
  <si>
    <t>A2541</t>
  </si>
  <si>
    <t>Tapachula S171 (cedis villahermosa)</t>
  </si>
  <si>
    <t>Mérida S1150(cedis villahermosa)</t>
  </si>
  <si>
    <t>Tapachula S1171(cedis villahermosa)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</si>
</sst>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rgb="FF000000"/>
      <name val="Tahoma"/>
      <family val="2"/>
    </font>
    <font>
      <b/>
      <sz val="10"/>
      <color theme="0"/>
      <name val="Tahoma"/>
      <family val="2"/>
    </font>
    <font>
      <b/>
      <sz val="8"/>
      <color theme="0"/>
      <name val="Tahoma"/>
      <family val="2"/>
    </font>
    <font>
      <sz val="8"/>
      <color rgb="FF000000"/>
      <name val="Tahoma"/>
      <family val="2"/>
    </font>
    <font>
      <b/>
      <sz val="14"/>
      <color theme="4" tint="-0.249977111117893"/>
      <name val="Tahoma"/>
      <family val="2"/>
    </font>
    <font>
      <b/>
      <sz val="12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hair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theme="0"/>
      </bottom>
      <diagonal/>
    </border>
    <border>
      <left/>
      <right/>
      <top style="medium">
        <color indexed="64"/>
      </top>
      <bottom style="hair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theme="0"/>
      </bottom>
      <diagonal/>
    </border>
    <border>
      <left style="medium">
        <color indexed="64"/>
      </left>
      <right/>
      <top style="hair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theme="0"/>
      </top>
      <bottom style="medium">
        <color indexed="64"/>
      </bottom>
      <diagonal/>
    </border>
    <border>
      <left/>
      <right/>
      <top style="hair">
        <color theme="0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hair">
        <color theme="0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3" borderId="5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4" borderId="18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14" fontId="7" fillId="0" borderId="22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8" fillId="2" borderId="24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/>
    </xf>
    <xf numFmtId="3" fontId="2" fillId="0" borderId="22" xfId="0" applyNumberFormat="1" applyFont="1" applyFill="1" applyBorder="1" applyAlignment="1">
      <alignment horizontal="center"/>
    </xf>
    <xf numFmtId="164" fontId="2" fillId="0" borderId="23" xfId="1" applyNumberFormat="1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164" fontId="9" fillId="0" borderId="17" xfId="0" applyNumberFormat="1" applyFont="1" applyFill="1" applyBorder="1" applyAlignment="1">
      <alignment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19051</xdr:colOff>
      <xdr:row>0</xdr:row>
      <xdr:rowOff>76200</xdr:rowOff>
    </xdr:from>
    <xdr:ext cx="7950776" cy="557645"/>
    <xdr:pic>
      <xdr:nvPicPr>
        <xdr:cNvPr id="2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3145" t="68889" r="6969" b="22278"/>
        <a:stretch>
          <a:fillRect/>
        </a:stretch>
      </xdr:blipFill>
      <xdr:spPr bwMode="auto">
        <a:xfrm>
          <a:off x="19051" y="76200"/>
          <a:ext cx="7950776" cy="55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</xdr:row>
          <xdr:rowOff>68580</xdr:rowOff>
        </xdr:from>
        <xdr:to>
          <xdr:col>3</xdr:col>
          <xdr:colOff>1455420</xdr:colOff>
          <xdr:row>7</xdr:row>
          <xdr:rowOff>60960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E667-69B6-4F68-A846-E1423F48BDAA}">
  <sheetPr>
    <pageSetUpPr fitToPage="1"/>
  </sheetPr>
  <dimension ref="A1:M40"/>
  <sheetViews>
    <sheetView showGridLines="0" tabSelected="1" zoomScale="115" zoomScaleNormal="115" workbookViewId="0">
      <pane xSplit="3" ySplit="12" topLeftCell="D13" activePane="bottomRight" state="frozen"/>
      <selection pane="topRight" activeCell="D1" sqref="D1"/>
      <selection pane="bottomLeft" activeCell="A5" sqref="A5"/>
      <selection pane="bottomRight" activeCell="E20" sqref="E20"/>
    </sheetView>
  </sheetViews>
  <sheetFormatPr baseColWidth="10" defaultColWidth="10.88671875" defaultRowHeight="10.199999999999999" x14ac:dyDescent="0.2"/>
  <cols>
    <col min="1" max="1" width="6.21875" style="1" customWidth="1"/>
    <col min="2" max="2" width="12.109375" style="1" bestFit="1" customWidth="1"/>
    <col min="3" max="3" width="7.44140625" style="1" customWidth="1"/>
    <col min="4" max="4" width="81.6640625" style="2" customWidth="1"/>
    <col min="5" max="5" width="34" style="1" bestFit="1" customWidth="1"/>
    <col min="6" max="6" width="12.33203125" style="1" customWidth="1"/>
    <col min="7" max="7" width="7.77734375" style="1" customWidth="1"/>
    <col min="8" max="8" width="11.88671875" style="1" bestFit="1" customWidth="1"/>
    <col min="9" max="9" width="10.88671875" style="1" bestFit="1" customWidth="1"/>
    <col min="10" max="10" width="9.109375" style="1" customWidth="1"/>
    <col min="11" max="11" width="10.6640625" style="2" customWidth="1"/>
    <col min="12" max="12" width="12.21875" style="2" customWidth="1"/>
    <col min="13" max="13" width="18.6640625" style="2" customWidth="1"/>
    <col min="14" max="16384" width="10.88671875" style="2"/>
  </cols>
  <sheetData>
    <row r="1" spans="1:13" x14ac:dyDescent="0.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">
      <c r="K2" s="1"/>
      <c r="L2" s="1"/>
      <c r="M2" s="1"/>
    </row>
    <row r="3" spans="1:13" x14ac:dyDescent="0.2">
      <c r="K3" s="1"/>
      <c r="L3" s="1"/>
      <c r="M3" s="1"/>
    </row>
    <row r="4" spans="1:13" x14ac:dyDescent="0.2">
      <c r="K4" s="1"/>
      <c r="L4" s="1"/>
      <c r="M4" s="1"/>
    </row>
    <row r="5" spans="1:13" ht="10.8" thickBot="1" x14ac:dyDescent="0.25">
      <c r="K5" s="1"/>
      <c r="L5" s="1"/>
      <c r="M5" s="1"/>
    </row>
    <row r="6" spans="1:13" ht="15" customHeight="1" thickBot="1" x14ac:dyDescent="0.25">
      <c r="F6" s="23" t="s">
        <v>0</v>
      </c>
      <c r="G6" s="24"/>
      <c r="H6" s="25" t="s">
        <v>1</v>
      </c>
      <c r="I6" s="26"/>
      <c r="J6" s="27"/>
      <c r="K6" s="23" t="s">
        <v>2</v>
      </c>
      <c r="L6" s="24"/>
      <c r="M6" s="3">
        <v>47001110</v>
      </c>
    </row>
    <row r="7" spans="1:13" x14ac:dyDescent="0.2">
      <c r="K7" s="1"/>
      <c r="L7" s="1"/>
      <c r="M7" s="1"/>
    </row>
    <row r="8" spans="1:13" x14ac:dyDescent="0.2">
      <c r="K8" s="1"/>
      <c r="L8" s="1"/>
      <c r="M8" s="1"/>
    </row>
    <row r="9" spans="1:13" ht="10.8" thickBot="1" x14ac:dyDescent="0.25">
      <c r="K9" s="1"/>
      <c r="L9" s="1"/>
      <c r="M9" s="1"/>
    </row>
    <row r="10" spans="1:13" ht="15" customHeight="1" thickBot="1" x14ac:dyDescent="0.25">
      <c r="A10" s="28" t="s">
        <v>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0"/>
    </row>
    <row r="11" spans="1:13" s="6" customFormat="1" ht="21" customHeight="1" thickBot="1" x14ac:dyDescent="0.35">
      <c r="A11" s="31" t="s">
        <v>4</v>
      </c>
      <c r="B11" s="14" t="s">
        <v>5</v>
      </c>
      <c r="C11" s="33" t="s">
        <v>6</v>
      </c>
      <c r="D11" s="12" t="s">
        <v>7</v>
      </c>
      <c r="E11" s="33" t="s">
        <v>8</v>
      </c>
      <c r="F11" s="12" t="s">
        <v>9</v>
      </c>
      <c r="G11" s="4" t="s">
        <v>10</v>
      </c>
      <c r="H11" s="14" t="s">
        <v>11</v>
      </c>
      <c r="I11" s="16" t="s">
        <v>10</v>
      </c>
      <c r="J11" s="18" t="s">
        <v>12</v>
      </c>
      <c r="K11" s="5" t="s">
        <v>13</v>
      </c>
      <c r="L11" s="14" t="s">
        <v>14</v>
      </c>
      <c r="M11" s="20" t="s">
        <v>15</v>
      </c>
    </row>
    <row r="12" spans="1:13" s="6" customFormat="1" ht="14.25" customHeight="1" thickBot="1" x14ac:dyDescent="0.35">
      <c r="A12" s="32"/>
      <c r="B12" s="15"/>
      <c r="C12" s="34"/>
      <c r="D12" s="13"/>
      <c r="E12" s="34"/>
      <c r="F12" s="13"/>
      <c r="G12" s="7" t="s">
        <v>16</v>
      </c>
      <c r="H12" s="15"/>
      <c r="I12" s="17"/>
      <c r="J12" s="19"/>
      <c r="K12" s="5" t="s">
        <v>17</v>
      </c>
      <c r="L12" s="15"/>
      <c r="M12" s="21"/>
    </row>
    <row r="13" spans="1:13" ht="11.25" customHeight="1" x14ac:dyDescent="0.2">
      <c r="A13" s="8">
        <v>1</v>
      </c>
      <c r="B13" s="9">
        <v>46231</v>
      </c>
      <c r="C13" s="10">
        <v>15</v>
      </c>
      <c r="D13" s="35" t="s">
        <v>66</v>
      </c>
      <c r="E13" s="36" t="s">
        <v>32</v>
      </c>
      <c r="F13" s="36">
        <v>5500127420</v>
      </c>
      <c r="G13" s="37" t="s">
        <v>18</v>
      </c>
      <c r="H13" s="38">
        <f>595+576+455</f>
        <v>1626</v>
      </c>
      <c r="I13" s="38" t="s">
        <v>19</v>
      </c>
      <c r="J13" s="38" t="s">
        <v>49</v>
      </c>
      <c r="K13" s="38" t="s">
        <v>19</v>
      </c>
      <c r="L13" s="39">
        <v>576</v>
      </c>
      <c r="M13" s="11"/>
    </row>
    <row r="14" spans="1:13" ht="11.25" customHeight="1" x14ac:dyDescent="0.2">
      <c r="A14" s="8">
        <v>2</v>
      </c>
      <c r="B14" s="9">
        <v>46231</v>
      </c>
      <c r="C14" s="10">
        <v>171</v>
      </c>
      <c r="D14" s="35" t="s">
        <v>20</v>
      </c>
      <c r="E14" s="36" t="s">
        <v>32</v>
      </c>
      <c r="F14" s="36">
        <v>5500127420</v>
      </c>
      <c r="G14" s="37" t="s">
        <v>18</v>
      </c>
      <c r="H14" s="38">
        <f>595+576+455</f>
        <v>1626</v>
      </c>
      <c r="I14" s="38" t="s">
        <v>19</v>
      </c>
      <c r="J14" s="38" t="s">
        <v>49</v>
      </c>
      <c r="K14" s="38" t="s">
        <v>19</v>
      </c>
      <c r="L14" s="39">
        <v>2650</v>
      </c>
      <c r="M14" s="11"/>
    </row>
    <row r="15" spans="1:13" ht="11.25" customHeight="1" x14ac:dyDescent="0.2">
      <c r="A15" s="8">
        <v>3</v>
      </c>
      <c r="B15" s="9">
        <v>46234</v>
      </c>
      <c r="C15" s="10">
        <v>15</v>
      </c>
      <c r="D15" s="35" t="s">
        <v>67</v>
      </c>
      <c r="E15" s="36" t="s">
        <v>33</v>
      </c>
      <c r="F15" s="36">
        <v>5500127562</v>
      </c>
      <c r="G15" s="37" t="s">
        <v>18</v>
      </c>
      <c r="H15" s="38">
        <f>418+107+816+455</f>
        <v>1796</v>
      </c>
      <c r="I15" s="38" t="s">
        <v>19</v>
      </c>
      <c r="J15" s="38" t="s">
        <v>50</v>
      </c>
      <c r="K15" s="38" t="s">
        <v>19</v>
      </c>
      <c r="L15" s="39">
        <v>504</v>
      </c>
      <c r="M15" s="11"/>
    </row>
    <row r="16" spans="1:13" ht="11.25" customHeight="1" x14ac:dyDescent="0.2">
      <c r="A16" s="8">
        <v>4</v>
      </c>
      <c r="B16" s="9">
        <v>46234</v>
      </c>
      <c r="C16" s="10">
        <v>1150</v>
      </c>
      <c r="D16" s="35" t="s">
        <v>21</v>
      </c>
      <c r="E16" s="36" t="s">
        <v>33</v>
      </c>
      <c r="F16" s="36">
        <v>5500127562</v>
      </c>
      <c r="G16" s="37" t="s">
        <v>18</v>
      </c>
      <c r="H16" s="38">
        <f>418+107+816+455</f>
        <v>1796</v>
      </c>
      <c r="I16" s="38" t="s">
        <v>19</v>
      </c>
      <c r="J16" s="38" t="s">
        <v>50</v>
      </c>
      <c r="K16" s="38" t="s">
        <v>19</v>
      </c>
      <c r="L16" s="39">
        <v>2700</v>
      </c>
      <c r="M16" s="11"/>
    </row>
    <row r="17" spans="1:13" ht="11.25" customHeight="1" x14ac:dyDescent="0.2">
      <c r="A17" s="8">
        <v>5</v>
      </c>
      <c r="B17" s="9">
        <v>46234</v>
      </c>
      <c r="C17" s="10">
        <v>137</v>
      </c>
      <c r="D17" s="35" t="s">
        <v>22</v>
      </c>
      <c r="E17" s="36" t="s">
        <v>34</v>
      </c>
      <c r="F17" s="36">
        <v>5500127549</v>
      </c>
      <c r="G17" s="37" t="s">
        <v>18</v>
      </c>
      <c r="H17" s="38">
        <v>525</v>
      </c>
      <c r="I17" s="38" t="s">
        <v>19</v>
      </c>
      <c r="J17" s="38" t="s">
        <v>51</v>
      </c>
      <c r="K17" s="38" t="s">
        <v>19</v>
      </c>
      <c r="L17" s="39">
        <v>5700</v>
      </c>
      <c r="M17" s="11"/>
    </row>
    <row r="18" spans="1:13" ht="11.25" customHeight="1" x14ac:dyDescent="0.2">
      <c r="A18" s="8">
        <v>6</v>
      </c>
      <c r="B18" s="9">
        <v>46235</v>
      </c>
      <c r="C18" s="10">
        <v>171</v>
      </c>
      <c r="D18" s="35" t="s">
        <v>23</v>
      </c>
      <c r="E18" s="36" t="s">
        <v>35</v>
      </c>
      <c r="F18" s="36">
        <v>5500127583</v>
      </c>
      <c r="G18" s="37" t="s">
        <v>18</v>
      </c>
      <c r="H18" s="38">
        <v>562</v>
      </c>
      <c r="I18" s="38" t="s">
        <v>19</v>
      </c>
      <c r="J18" s="38" t="s">
        <v>52</v>
      </c>
      <c r="K18" s="38" t="s">
        <v>19</v>
      </c>
      <c r="L18" s="39">
        <v>2650</v>
      </c>
      <c r="M18" s="11"/>
    </row>
    <row r="19" spans="1:13" ht="11.25" customHeight="1" x14ac:dyDescent="0.2">
      <c r="A19" s="8">
        <v>7</v>
      </c>
      <c r="B19" s="9">
        <v>46238</v>
      </c>
      <c r="C19" s="10">
        <v>224</v>
      </c>
      <c r="D19" s="35" t="s">
        <v>24</v>
      </c>
      <c r="E19" s="36" t="s">
        <v>36</v>
      </c>
      <c r="F19" s="36">
        <v>5500127665</v>
      </c>
      <c r="G19" s="37" t="s">
        <v>18</v>
      </c>
      <c r="H19" s="38">
        <v>1164</v>
      </c>
      <c r="I19" s="38" t="s">
        <v>19</v>
      </c>
      <c r="J19" s="38" t="s">
        <v>53</v>
      </c>
      <c r="K19" s="38" t="s">
        <v>19</v>
      </c>
      <c r="L19" s="39">
        <v>5860</v>
      </c>
      <c r="M19" s="11"/>
    </row>
    <row r="20" spans="1:13" ht="11.25" customHeight="1" x14ac:dyDescent="0.2">
      <c r="A20" s="8">
        <v>8</v>
      </c>
      <c r="B20" s="9">
        <v>46239</v>
      </c>
      <c r="C20" s="10">
        <v>128</v>
      </c>
      <c r="D20" s="35" t="s">
        <v>25</v>
      </c>
      <c r="E20" s="36" t="s">
        <v>37</v>
      </c>
      <c r="F20" s="36">
        <v>5500127728</v>
      </c>
      <c r="G20" s="37" t="s">
        <v>18</v>
      </c>
      <c r="H20" s="38">
        <v>1720</v>
      </c>
      <c r="I20" s="38" t="s">
        <v>19</v>
      </c>
      <c r="J20" s="38" t="s">
        <v>54</v>
      </c>
      <c r="K20" s="38" t="s">
        <v>19</v>
      </c>
      <c r="L20" s="39">
        <v>3500</v>
      </c>
      <c r="M20" s="11"/>
    </row>
    <row r="21" spans="1:13" ht="11.25" customHeight="1" x14ac:dyDescent="0.2">
      <c r="A21" s="8">
        <v>9</v>
      </c>
      <c r="B21" s="9">
        <v>46242</v>
      </c>
      <c r="C21" s="10">
        <v>132</v>
      </c>
      <c r="D21" s="35" t="s">
        <v>26</v>
      </c>
      <c r="E21" s="36" t="s">
        <v>38</v>
      </c>
      <c r="F21" s="36">
        <v>5500127846</v>
      </c>
      <c r="G21" s="37" t="s">
        <v>18</v>
      </c>
      <c r="H21" s="38">
        <v>1326</v>
      </c>
      <c r="I21" s="38" t="s">
        <v>19</v>
      </c>
      <c r="J21" s="38" t="s">
        <v>55</v>
      </c>
      <c r="K21" s="38" t="s">
        <v>19</v>
      </c>
      <c r="L21" s="39">
        <v>4860</v>
      </c>
      <c r="M21" s="11"/>
    </row>
    <row r="22" spans="1:13" ht="11.25" customHeight="1" x14ac:dyDescent="0.2">
      <c r="A22" s="8">
        <v>10</v>
      </c>
      <c r="B22" s="9">
        <v>46244</v>
      </c>
      <c r="C22" s="10">
        <v>124</v>
      </c>
      <c r="D22" s="35" t="s">
        <v>27</v>
      </c>
      <c r="E22" s="36" t="s">
        <v>39</v>
      </c>
      <c r="F22" s="36">
        <v>5500127905</v>
      </c>
      <c r="G22" s="37" t="s">
        <v>18</v>
      </c>
      <c r="H22" s="38">
        <v>752</v>
      </c>
      <c r="I22" s="38" t="s">
        <v>19</v>
      </c>
      <c r="J22" s="38" t="s">
        <v>56</v>
      </c>
      <c r="K22" s="38" t="s">
        <v>19</v>
      </c>
      <c r="L22" s="39">
        <v>2700</v>
      </c>
      <c r="M22" s="11"/>
    </row>
    <row r="23" spans="1:13" ht="11.25" customHeight="1" x14ac:dyDescent="0.2">
      <c r="A23" s="8">
        <v>11</v>
      </c>
      <c r="B23" s="9">
        <v>46245</v>
      </c>
      <c r="C23" s="10">
        <v>150</v>
      </c>
      <c r="D23" s="35" t="s">
        <v>21</v>
      </c>
      <c r="E23" s="36" t="s">
        <v>40</v>
      </c>
      <c r="F23" s="36">
        <v>5500127913</v>
      </c>
      <c r="G23" s="37" t="s">
        <v>18</v>
      </c>
      <c r="H23" s="38">
        <v>1166</v>
      </c>
      <c r="I23" s="38" t="s">
        <v>19</v>
      </c>
      <c r="J23" s="38" t="s">
        <v>57</v>
      </c>
      <c r="K23" s="38" t="s">
        <v>19</v>
      </c>
      <c r="L23" s="39">
        <v>2700</v>
      </c>
      <c r="M23" s="11"/>
    </row>
    <row r="24" spans="1:13" ht="11.25" customHeight="1" x14ac:dyDescent="0.2">
      <c r="A24" s="8">
        <v>12</v>
      </c>
      <c r="B24" s="9">
        <v>46245</v>
      </c>
      <c r="C24" s="10">
        <v>15</v>
      </c>
      <c r="D24" s="35" t="s">
        <v>68</v>
      </c>
      <c r="E24" s="36" t="s">
        <v>41</v>
      </c>
      <c r="F24" s="36">
        <v>5500127937</v>
      </c>
      <c r="G24" s="37" t="s">
        <v>18</v>
      </c>
      <c r="H24" s="38">
        <f>662+80+333</f>
        <v>1075</v>
      </c>
      <c r="I24" s="38" t="s">
        <v>19</v>
      </c>
      <c r="J24" s="38" t="s">
        <v>58</v>
      </c>
      <c r="K24" s="38" t="s">
        <v>19</v>
      </c>
      <c r="L24" s="39">
        <v>360</v>
      </c>
      <c r="M24" s="11"/>
    </row>
    <row r="25" spans="1:13" ht="11.25" customHeight="1" x14ac:dyDescent="0.2">
      <c r="A25" s="8">
        <v>13</v>
      </c>
      <c r="B25" s="9">
        <v>46245</v>
      </c>
      <c r="C25" s="10">
        <v>171</v>
      </c>
      <c r="D25" s="35" t="s">
        <v>23</v>
      </c>
      <c r="E25" s="36" t="s">
        <v>41</v>
      </c>
      <c r="F25" s="36">
        <v>5500127937</v>
      </c>
      <c r="G25" s="37" t="s">
        <v>18</v>
      </c>
      <c r="H25" s="38">
        <f>662+80+333</f>
        <v>1075</v>
      </c>
      <c r="I25" s="38" t="s">
        <v>19</v>
      </c>
      <c r="J25" s="38" t="s">
        <v>58</v>
      </c>
      <c r="K25" s="38" t="s">
        <v>19</v>
      </c>
      <c r="L25" s="39">
        <v>2650</v>
      </c>
      <c r="M25" s="11"/>
    </row>
    <row r="26" spans="1:13" ht="11.25" customHeight="1" x14ac:dyDescent="0.2">
      <c r="A26" s="8">
        <v>14</v>
      </c>
      <c r="B26" s="9">
        <v>46245</v>
      </c>
      <c r="C26" s="10">
        <v>164</v>
      </c>
      <c r="D26" s="35" t="s">
        <v>28</v>
      </c>
      <c r="E26" s="36" t="s">
        <v>42</v>
      </c>
      <c r="F26" s="36">
        <v>5500127950</v>
      </c>
      <c r="G26" s="37" t="s">
        <v>18</v>
      </c>
      <c r="H26" s="38">
        <v>1011</v>
      </c>
      <c r="I26" s="38" t="s">
        <v>19</v>
      </c>
      <c r="J26" s="38" t="s">
        <v>59</v>
      </c>
      <c r="K26" s="38" t="s">
        <v>19</v>
      </c>
      <c r="L26" s="39">
        <v>294</v>
      </c>
      <c r="M26" s="11"/>
    </row>
    <row r="27" spans="1:13" ht="11.25" customHeight="1" x14ac:dyDescent="0.2">
      <c r="A27" s="8">
        <v>15</v>
      </c>
      <c r="B27" s="9">
        <v>46246</v>
      </c>
      <c r="C27" s="10">
        <v>255</v>
      </c>
      <c r="D27" s="35" t="s">
        <v>29</v>
      </c>
      <c r="E27" s="36" t="s">
        <v>43</v>
      </c>
      <c r="F27" s="36">
        <v>5500127969</v>
      </c>
      <c r="G27" s="37" t="s">
        <v>18</v>
      </c>
      <c r="H27" s="38">
        <v>1471</v>
      </c>
      <c r="I27" s="38" t="s">
        <v>19</v>
      </c>
      <c r="J27" s="38" t="s">
        <v>60</v>
      </c>
      <c r="K27" s="38" t="s">
        <v>19</v>
      </c>
      <c r="L27" s="39">
        <v>684</v>
      </c>
      <c r="M27" s="11"/>
    </row>
    <row r="28" spans="1:13" ht="11.25" customHeight="1" x14ac:dyDescent="0.2">
      <c r="A28" s="8">
        <v>16</v>
      </c>
      <c r="B28" s="9">
        <v>46247</v>
      </c>
      <c r="C28" s="10">
        <v>129</v>
      </c>
      <c r="D28" s="35" t="s">
        <v>30</v>
      </c>
      <c r="E28" s="36" t="s">
        <v>44</v>
      </c>
      <c r="F28" s="36">
        <v>5500128014</v>
      </c>
      <c r="G28" s="37" t="s">
        <v>18</v>
      </c>
      <c r="H28" s="38">
        <v>1140</v>
      </c>
      <c r="I28" s="38" t="s">
        <v>19</v>
      </c>
      <c r="J28" s="38" t="s">
        <v>61</v>
      </c>
      <c r="K28" s="38" t="s">
        <v>19</v>
      </c>
      <c r="L28" s="39">
        <v>2200</v>
      </c>
      <c r="M28" s="11"/>
    </row>
    <row r="29" spans="1:13" ht="11.25" customHeight="1" x14ac:dyDescent="0.2">
      <c r="A29" s="8">
        <v>17</v>
      </c>
      <c r="B29" s="9">
        <v>46247</v>
      </c>
      <c r="C29" s="10">
        <v>128</v>
      </c>
      <c r="D29" s="35" t="s">
        <v>25</v>
      </c>
      <c r="E29" s="36" t="s">
        <v>45</v>
      </c>
      <c r="F29" s="36">
        <v>5500128016</v>
      </c>
      <c r="G29" s="37" t="s">
        <v>18</v>
      </c>
      <c r="H29" s="38">
        <v>1703</v>
      </c>
      <c r="I29" s="38" t="s">
        <v>19</v>
      </c>
      <c r="J29" s="38" t="s">
        <v>62</v>
      </c>
      <c r="K29" s="38" t="s">
        <v>19</v>
      </c>
      <c r="L29" s="39">
        <v>3500</v>
      </c>
      <c r="M29" s="11"/>
    </row>
    <row r="30" spans="1:13" ht="11.25" customHeight="1" x14ac:dyDescent="0.2">
      <c r="A30" s="8">
        <v>18</v>
      </c>
      <c r="B30" s="9">
        <v>46249</v>
      </c>
      <c r="C30" s="10">
        <v>141</v>
      </c>
      <c r="D30" s="35" t="s">
        <v>31</v>
      </c>
      <c r="E30" s="36" t="s">
        <v>46</v>
      </c>
      <c r="F30" s="36">
        <v>5500128113</v>
      </c>
      <c r="G30" s="37" t="s">
        <v>18</v>
      </c>
      <c r="H30" s="38">
        <v>568</v>
      </c>
      <c r="I30" s="38" t="s">
        <v>19</v>
      </c>
      <c r="J30" s="38" t="s">
        <v>63</v>
      </c>
      <c r="K30" s="38" t="s">
        <v>19</v>
      </c>
      <c r="L30" s="39">
        <v>4040</v>
      </c>
      <c r="M30" s="11"/>
    </row>
    <row r="31" spans="1:13" ht="11.25" customHeight="1" x14ac:dyDescent="0.2">
      <c r="A31" s="8">
        <v>19</v>
      </c>
      <c r="B31" s="9">
        <v>46249</v>
      </c>
      <c r="C31" s="10">
        <v>141</v>
      </c>
      <c r="D31" s="35" t="s">
        <v>31</v>
      </c>
      <c r="E31" s="36" t="s">
        <v>47</v>
      </c>
      <c r="F31" s="36">
        <v>5500128114</v>
      </c>
      <c r="G31" s="37" t="s">
        <v>18</v>
      </c>
      <c r="H31" s="38">
        <v>576</v>
      </c>
      <c r="I31" s="38" t="s">
        <v>19</v>
      </c>
      <c r="J31" s="38" t="s">
        <v>64</v>
      </c>
      <c r="K31" s="38" t="s">
        <v>19</v>
      </c>
      <c r="L31" s="39">
        <v>4040</v>
      </c>
      <c r="M31" s="11"/>
    </row>
    <row r="32" spans="1:13" ht="11.25" customHeight="1" x14ac:dyDescent="0.2">
      <c r="A32" s="8">
        <v>20</v>
      </c>
      <c r="B32" s="9">
        <v>46251</v>
      </c>
      <c r="C32" s="10">
        <v>129</v>
      </c>
      <c r="D32" s="35" t="s">
        <v>30</v>
      </c>
      <c r="E32" s="36" t="s">
        <v>48</v>
      </c>
      <c r="F32" s="36">
        <v>5500128203</v>
      </c>
      <c r="G32" s="37" t="s">
        <v>18</v>
      </c>
      <c r="H32" s="38">
        <v>812</v>
      </c>
      <c r="I32" s="38" t="s">
        <v>19</v>
      </c>
      <c r="J32" s="38" t="s">
        <v>65</v>
      </c>
      <c r="K32" s="38" t="s">
        <v>19</v>
      </c>
      <c r="L32" s="39">
        <v>3300</v>
      </c>
      <c r="M32" s="11"/>
    </row>
    <row r="33" spans="1:13" ht="33.75" customHeight="1" thickBot="1" x14ac:dyDescent="0.25">
      <c r="A33" s="8"/>
      <c r="D33" s="40"/>
      <c r="E33" s="41"/>
      <c r="F33" s="41"/>
      <c r="G33" s="41"/>
      <c r="H33" s="41"/>
      <c r="I33" s="41"/>
      <c r="J33" s="41"/>
      <c r="K33" s="40"/>
      <c r="L33" s="42">
        <f>SUM(L13:L32)</f>
        <v>55468</v>
      </c>
    </row>
    <row r="40" spans="1:13" s="1" customFormat="1" x14ac:dyDescent="0.2">
      <c r="D40" s="2"/>
      <c r="K40" s="2"/>
      <c r="L40" s="2"/>
      <c r="M40" s="2"/>
    </row>
  </sheetData>
  <mergeCells count="17">
    <mergeCell ref="A11:A12"/>
    <mergeCell ref="B11:B12"/>
    <mergeCell ref="C11:C12"/>
    <mergeCell ref="D11:D12"/>
    <mergeCell ref="E11:E12"/>
    <mergeCell ref="A1:M1"/>
    <mergeCell ref="F6:G6"/>
    <mergeCell ref="H6:J6"/>
    <mergeCell ref="K6:L6"/>
    <mergeCell ref="A10:M10"/>
    <mergeCell ref="M13:M32"/>
    <mergeCell ref="F11:F12"/>
    <mergeCell ref="H11:H12"/>
    <mergeCell ref="I11:I12"/>
    <mergeCell ref="J11:J12"/>
    <mergeCell ref="L11:L12"/>
    <mergeCell ref="M11:M12"/>
  </mergeCells>
  <printOptions horizontalCentered="1" verticalCentered="1"/>
  <pageMargins left="0.7" right="0.7" top="0.75" bottom="0.75" header="0.3" footer="0.3"/>
  <pageSetup scale="60" orientation="landscape" r:id="rId1"/>
  <drawing r:id="rId2"/>
  <legacyDrawing r:id="rId3"/>
  <oleObjects>
    <mc:AlternateContent xmlns:mc="http://schemas.openxmlformats.org/markup-compatibility/2006">
      <mc:Choice Requires="x14">
        <oleObject progId="Paint.Picture" shapeId="1025" r:id="rId4">
          <objectPr defaultSize="0" autoPict="0" r:id="rId5">
            <anchor moveWithCells="1">
              <from>
                <xdr:col>0</xdr:col>
                <xdr:colOff>38100</xdr:colOff>
                <xdr:row>4</xdr:row>
                <xdr:rowOff>68580</xdr:rowOff>
              </from>
              <to>
                <xdr:col>3</xdr:col>
                <xdr:colOff>1455420</xdr:colOff>
                <xdr:row>7</xdr:row>
                <xdr:rowOff>60960</xdr:rowOff>
              </to>
            </anchor>
          </objectPr>
        </oleObject>
      </mc:Choice>
      <mc:Fallback>
        <oleObject progId="Paint.Picture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rev</vt:lpstr>
      <vt:lpstr>rev!Área_de_impresión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MARCIAL GONZALEZ HERNANDEZ</dc:creator>
  <cp:lastModifiedBy>Emilio Santos</cp:lastModifiedBy>
  <dcterms:created xsi:type="dcterms:W3CDTF">2026-08-20T19:05:43Z</dcterms:created>
  <dcterms:modified xsi:type="dcterms:W3CDTF">2026-09-01T23:45:46Z</dcterms:modified>
</cp:coreProperties>
</file>